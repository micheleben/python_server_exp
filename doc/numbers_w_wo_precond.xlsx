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tant" sheetId="1" state="visible" r:id="rId2"/>
    <sheet name="pulsed temp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<sst xmlns="http://schemas.openxmlformats.org/spreadsheetml/2006/main" count="104" uniqueCount="20">
  <si>
    <t xml:space="preserve">w 4C rep1</t>
  </si>
  <si>
    <t xml:space="preserve">mfc_stp1_dose</t>
  </si>
  <si>
    <t xml:space="preserve">mfc_stp1_vent</t>
  </si>
  <si>
    <t xml:space="preserve">mfc_stp2_dose</t>
  </si>
  <si>
    <t xml:space="preserve">mfc_stp2_vent</t>
  </si>
  <si>
    <t xml:space="preserve">mfc_stp3_dose</t>
  </si>
  <si>
    <t xml:space="preserve">mfc_stp3_vent</t>
  </si>
  <si>
    <t xml:space="preserve">mfc_stp4_dose</t>
  </si>
  <si>
    <t xml:space="preserve">mfc_stp4_vent</t>
  </si>
  <si>
    <t xml:space="preserve">mfc_stp5_dose</t>
  </si>
  <si>
    <t xml:space="preserve">mfc_stp5_vent</t>
  </si>
  <si>
    <t xml:space="preserve">mfc_stp6_dose</t>
  </si>
  <si>
    <t xml:space="preserve">mfc_stp6_vent</t>
  </si>
  <si>
    <t xml:space="preserve">w 4C rep0</t>
  </si>
  <si>
    <t xml:space="preserve">wo 4C rep1</t>
  </si>
  <si>
    <t xml:space="preserve">wo 4C rep0</t>
  </si>
  <si>
    <t xml:space="preserve">2C rep1</t>
  </si>
  <si>
    <t xml:space="preserve">2C rep0</t>
  </si>
  <si>
    <t xml:space="preserve">wo 2C rep1</t>
  </si>
  <si>
    <t xml:space="preserve">wo 2C rep0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</si>
</sst>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B59"/>
        <bgColor rgb="FFFF6600"/>
      </patternFill>
    </fill>
    <fill>
      <patternFill patternType="solid">
        <fgColor rgb="FFF6F9D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64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J47" activeCellId="0" sqref="J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93"/>
  </cols>
  <sheetData>
    <row r="2" customFormat="false" ht="12.8" hidden="false" customHeight="false" outlineLevel="0" collapsed="false">
      <c r="A2" s="0" t="s">
        <v>0</v>
      </c>
      <c r="B2" s="0" t="n">
        <v>5</v>
      </c>
      <c r="C2" s="0" t="n">
        <v>30</v>
      </c>
      <c r="D2" s="0" t="n">
        <v>300</v>
      </c>
      <c r="E2" s="0" t="n">
        <v>600</v>
      </c>
    </row>
    <row r="3" customFormat="false" ht="12.8" hidden="false" customHeight="false" outlineLevel="0" collapsed="false">
      <c r="A3" s="0" t="s">
        <v>1</v>
      </c>
      <c r="B3" s="0" t="n">
        <v>25061</v>
      </c>
      <c r="C3" s="0" t="n">
        <v>25902</v>
      </c>
      <c r="D3" s="0" t="n">
        <v>27433</v>
      </c>
      <c r="E3" s="0" t="n">
        <v>27995</v>
      </c>
      <c r="H3" s="0" t="n">
        <f aca="false">($E4-B3)/$E4</f>
        <v>0.147178928741578</v>
      </c>
      <c r="I3" s="0" t="n">
        <f aca="false">($E4-C3)/$E4</f>
        <v>0.11855985843599</v>
      </c>
      <c r="J3" s="0" t="n">
        <f aca="false">($E4-D3)/$E4</f>
        <v>0.0664602191519771</v>
      </c>
      <c r="K3" s="0" t="n">
        <f aca="false">($E4-E3)/$E4</f>
        <v>0.0473354658681005</v>
      </c>
    </row>
    <row r="4" customFormat="false" ht="12.8" hidden="false" customHeight="false" outlineLevel="0" collapsed="false">
      <c r="A4" s="0" t="s">
        <v>2</v>
      </c>
      <c r="B4" s="0" t="n">
        <v>28108</v>
      </c>
      <c r="C4" s="0" t="n">
        <v>28273</v>
      </c>
      <c r="D4" s="0" t="n">
        <v>29044</v>
      </c>
      <c r="E4" s="0" t="n">
        <v>29386</v>
      </c>
    </row>
    <row r="5" customFormat="false" ht="12.8" hidden="false" customHeight="false" outlineLevel="0" collapsed="false">
      <c r="A5" s="0" t="s">
        <v>3</v>
      </c>
      <c r="B5" s="0" t="n">
        <v>29775</v>
      </c>
      <c r="C5" s="0" t="n">
        <v>29657</v>
      </c>
      <c r="D5" s="0" t="n">
        <v>29084</v>
      </c>
      <c r="E5" s="0" t="n">
        <v>29082</v>
      </c>
      <c r="H5" s="0" t="n">
        <f aca="false">($E6-B5)/$E6</f>
        <v>0.0142360536335044</v>
      </c>
      <c r="I5" s="0" t="n">
        <f aca="false">($E6-C5)/$E6</f>
        <v>0.0181426916073498</v>
      </c>
      <c r="J5" s="0" t="n">
        <f aca="false">($E6-D5)/$E6</f>
        <v>0.0371130607515312</v>
      </c>
      <c r="K5" s="0" t="n">
        <f aca="false">($E6-E5)/$E6</f>
        <v>0.0371792749544777</v>
      </c>
    </row>
    <row r="6" customFormat="false" ht="12.8" hidden="false" customHeight="false" outlineLevel="0" collapsed="false">
      <c r="A6" s="0" t="s">
        <v>4</v>
      </c>
      <c r="B6" s="0" t="n">
        <v>29143</v>
      </c>
      <c r="C6" s="0" t="n">
        <v>29299</v>
      </c>
      <c r="D6" s="0" t="n">
        <v>29973</v>
      </c>
      <c r="E6" s="0" t="n">
        <v>30205</v>
      </c>
    </row>
    <row r="7" customFormat="false" ht="12.8" hidden="false" customHeight="false" outlineLevel="0" collapsed="false">
      <c r="A7" s="0" t="s">
        <v>5</v>
      </c>
      <c r="B7" s="0" t="n">
        <v>30239</v>
      </c>
      <c r="C7" s="0" t="n">
        <v>30105</v>
      </c>
      <c r="D7" s="0" t="n">
        <v>29337</v>
      </c>
      <c r="E7" s="0" t="n">
        <v>29092</v>
      </c>
      <c r="H7" s="0" t="n">
        <f aca="false">($E8-B7)/$E8</f>
        <v>-0.00465131731951228</v>
      </c>
      <c r="I7" s="0" t="n">
        <f aca="false">($E8-C7)/$E8</f>
        <v>-0.00019934217083624</v>
      </c>
      <c r="J7" s="0" t="n">
        <f aca="false">($E8-D7)/$E8</f>
        <v>0.0253164556962025</v>
      </c>
      <c r="K7" s="0" t="n">
        <f aca="false">($E8-E7)/$E8</f>
        <v>0.033456261005349</v>
      </c>
    </row>
    <row r="8" customFormat="false" ht="12.8" hidden="false" customHeight="false" outlineLevel="0" collapsed="false">
      <c r="A8" s="0" t="s">
        <v>6</v>
      </c>
      <c r="B8" s="0" t="n">
        <v>29162</v>
      </c>
      <c r="C8" s="0" t="n">
        <v>29294</v>
      </c>
      <c r="D8" s="0" t="n">
        <v>29947</v>
      </c>
      <c r="E8" s="0" t="n">
        <v>30099</v>
      </c>
    </row>
    <row r="9" customFormat="false" ht="12.8" hidden="false" customHeight="false" outlineLevel="0" collapsed="false">
      <c r="A9" s="0" t="s">
        <v>7</v>
      </c>
      <c r="B9" s="0" t="n">
        <v>30493</v>
      </c>
      <c r="C9" s="0" t="n">
        <v>30385</v>
      </c>
      <c r="D9" s="0" t="n">
        <v>29711</v>
      </c>
      <c r="E9" s="0" t="n">
        <v>29623</v>
      </c>
      <c r="H9" s="0" t="n">
        <f aca="false">($E10-B9)/$E10</f>
        <v>0.00431020408163265</v>
      </c>
      <c r="I9" s="0" t="n">
        <f aca="false">($E10-C9)/$E10</f>
        <v>0.00783673469387755</v>
      </c>
      <c r="J9" s="0" t="n">
        <f aca="false">($E10-D9)/$E10</f>
        <v>0.0298448979591837</v>
      </c>
      <c r="K9" s="0" t="n">
        <f aca="false">($E10-E9)/$E10</f>
        <v>0.0327183673469388</v>
      </c>
    </row>
    <row r="10" customFormat="false" ht="12.8" hidden="false" customHeight="false" outlineLevel="0" collapsed="false">
      <c r="A10" s="0" t="s">
        <v>8</v>
      </c>
      <c r="B10" s="0" t="n">
        <v>29710</v>
      </c>
      <c r="C10" s="0" t="n">
        <v>29837</v>
      </c>
      <c r="D10" s="0" t="n">
        <v>30508</v>
      </c>
      <c r="E10" s="0" t="n">
        <v>30625</v>
      </c>
    </row>
    <row r="11" customFormat="false" ht="12.8" hidden="false" customHeight="false" outlineLevel="0" collapsed="false">
      <c r="A11" s="0" t="s">
        <v>9</v>
      </c>
      <c r="B11" s="0" t="n">
        <v>30801</v>
      </c>
      <c r="C11" s="0" t="n">
        <v>30701</v>
      </c>
      <c r="D11" s="0" t="n">
        <v>29954</v>
      </c>
      <c r="E11" s="0" t="n">
        <v>29698</v>
      </c>
      <c r="H11" s="0" t="n">
        <f aca="false">($E12-B11)/$E12</f>
        <v>-0.00620691908137598</v>
      </c>
      <c r="I11" s="0" t="n">
        <f aca="false">($E12-C11)/$E12</f>
        <v>-0.0029401195648623</v>
      </c>
      <c r="J11" s="0" t="n">
        <f aca="false">($E12-D11)/$E12</f>
        <v>0.0214628728234948</v>
      </c>
      <c r="K11" s="0" t="n">
        <f aca="false">($E12-E11)/$E12</f>
        <v>0.0298258795857698</v>
      </c>
    </row>
    <row r="12" customFormat="false" ht="12.8" hidden="false" customHeight="false" outlineLevel="0" collapsed="false">
      <c r="A12" s="0" t="s">
        <v>10</v>
      </c>
      <c r="B12" s="0" t="n">
        <v>29736</v>
      </c>
      <c r="C12" s="0" t="n">
        <v>29863</v>
      </c>
      <c r="D12" s="0" t="n">
        <v>30485</v>
      </c>
      <c r="E12" s="0" t="n">
        <v>30611</v>
      </c>
    </row>
    <row r="13" customFormat="false" ht="12.8" hidden="false" customHeight="false" outlineLevel="0" collapsed="false">
      <c r="A13" s="0" t="s">
        <v>11</v>
      </c>
      <c r="B13" s="0" t="n">
        <v>30793</v>
      </c>
      <c r="C13" s="0" t="n">
        <v>30687</v>
      </c>
      <c r="D13" s="0" t="n">
        <v>30042</v>
      </c>
      <c r="E13" s="0" t="n">
        <v>29933</v>
      </c>
      <c r="H13" s="0" t="n">
        <f aca="false">($E14-B13)/$E14</f>
        <v>0.00866009915652566</v>
      </c>
      <c r="I13" s="0" t="n">
        <f aca="false">($E14-C13)/$E14</f>
        <v>0.012072628935677</v>
      </c>
      <c r="J13" s="0" t="n">
        <f aca="false">($E14-D13)/$E14</f>
        <v>0.0328375507050415</v>
      </c>
      <c r="K13" s="0" t="n">
        <f aca="false">($E14-E13)/$E14</f>
        <v>0.0363466615156783</v>
      </c>
    </row>
    <row r="14" customFormat="false" ht="12.8" hidden="false" customHeight="false" outlineLevel="0" collapsed="false">
      <c r="A14" s="0" t="s">
        <v>12</v>
      </c>
      <c r="B14" s="0" t="n">
        <v>30000</v>
      </c>
      <c r="C14" s="0" t="n">
        <v>30136</v>
      </c>
      <c r="D14" s="0" t="n">
        <v>30868</v>
      </c>
      <c r="E14" s="0" t="n">
        <v>31062</v>
      </c>
    </row>
    <row r="15" customFormat="false" ht="12.8" hidden="false" customHeight="false" outlineLevel="0" collapsed="false">
      <c r="H15" s="1" t="n">
        <f aca="false">H3-H13</f>
        <v>0.138518829585052</v>
      </c>
      <c r="I15" s="1" t="n">
        <f aca="false">I3-I13</f>
        <v>0.106487229500313</v>
      </c>
      <c r="J15" s="1" t="n">
        <f aca="false">J3-J13</f>
        <v>0.0336226684469356</v>
      </c>
      <c r="K15" s="1" t="n">
        <f aca="false">K3-K13</f>
        <v>0.0109888043524221</v>
      </c>
    </row>
    <row r="18" customFormat="false" ht="12.8" hidden="false" customHeight="false" outlineLevel="0" collapsed="false">
      <c r="A18" s="0" t="s">
        <v>13</v>
      </c>
      <c r="B18" s="0" t="n">
        <v>5</v>
      </c>
      <c r="C18" s="0" t="n">
        <v>30</v>
      </c>
      <c r="D18" s="0" t="n">
        <v>300</v>
      </c>
      <c r="E18" s="0" t="n">
        <v>600</v>
      </c>
    </row>
    <row r="19" customFormat="false" ht="12.8" hidden="false" customHeight="false" outlineLevel="0" collapsed="false">
      <c r="A19" s="0" t="s">
        <v>1</v>
      </c>
      <c r="B19" s="0" t="n">
        <v>25437</v>
      </c>
      <c r="C19" s="0" t="n">
        <v>26196</v>
      </c>
      <c r="D19" s="0" t="n">
        <v>27415</v>
      </c>
      <c r="E19" s="0" t="n">
        <v>27836</v>
      </c>
      <c r="H19" s="0" t="n">
        <f aca="false">($E20-B19)/$E20</f>
        <v>0.126446649953639</v>
      </c>
      <c r="I19" s="0" t="n">
        <f aca="false">($E20-C19)/$E20</f>
        <v>0.100381194409149</v>
      </c>
      <c r="J19" s="0" t="n">
        <f aca="false">($E20-D19)/$E20</f>
        <v>0.0585184930801195</v>
      </c>
      <c r="K19" s="0" t="n">
        <f aca="false">($E20-E19)/$E20</f>
        <v>0.0440605790033998</v>
      </c>
    </row>
    <row r="20" customFormat="false" ht="12.8" hidden="false" customHeight="false" outlineLevel="0" collapsed="false">
      <c r="A20" s="0" t="s">
        <v>2</v>
      </c>
      <c r="B20" s="0" t="n">
        <v>27918</v>
      </c>
      <c r="C20" s="0" t="n">
        <v>28095</v>
      </c>
      <c r="D20" s="0" t="n">
        <v>28833</v>
      </c>
      <c r="E20" s="0" t="n">
        <v>29119</v>
      </c>
    </row>
    <row r="21" customFormat="false" ht="12.8" hidden="false" customHeight="false" outlineLevel="0" collapsed="false">
      <c r="A21" s="0" t="s">
        <v>3</v>
      </c>
      <c r="B21" s="0" t="n">
        <v>29625</v>
      </c>
      <c r="C21" s="0" t="n">
        <v>29513</v>
      </c>
      <c r="D21" s="0" t="n">
        <v>28892</v>
      </c>
      <c r="E21" s="0" t="n">
        <v>28853</v>
      </c>
      <c r="H21" s="0" t="n">
        <f aca="false">($E22-B21)/$E22</f>
        <v>0.0104549402097669</v>
      </c>
      <c r="I21" s="0" t="n">
        <f aca="false">($E22-C21)/$E22</f>
        <v>0.0141960050771595</v>
      </c>
      <c r="J21" s="0" t="n">
        <f aca="false">($E22-D21)/$E22</f>
        <v>0.034938873672256</v>
      </c>
      <c r="K21" s="0" t="n">
        <f aca="false">($E22-E21)/$E22</f>
        <v>0.0362415659028659</v>
      </c>
    </row>
    <row r="22" customFormat="false" ht="12.8" hidden="false" customHeight="false" outlineLevel="0" collapsed="false">
      <c r="A22" s="0" t="s">
        <v>4</v>
      </c>
      <c r="B22" s="0" t="n">
        <v>28928</v>
      </c>
      <c r="C22" s="0" t="n">
        <v>29065</v>
      </c>
      <c r="D22" s="0" t="n">
        <v>29748</v>
      </c>
      <c r="E22" s="0" t="n">
        <v>29938</v>
      </c>
    </row>
    <row r="23" customFormat="false" ht="12.8" hidden="false" customHeight="false" outlineLevel="0" collapsed="false">
      <c r="A23" s="0" t="s">
        <v>5</v>
      </c>
      <c r="B23" s="0" t="n">
        <v>30063</v>
      </c>
      <c r="C23" s="0" t="n">
        <v>29974</v>
      </c>
      <c r="D23" s="0" t="n">
        <v>29303</v>
      </c>
      <c r="E23" s="0" t="n">
        <v>29208</v>
      </c>
      <c r="H23" s="0" t="n">
        <f aca="false">($E24-B23)/$E24</f>
        <v>0.00749422251568174</v>
      </c>
      <c r="I23" s="0" t="n">
        <f aca="false">($E24-C23)/$E24</f>
        <v>0.0104324859689667</v>
      </c>
      <c r="J23" s="0" t="n">
        <f aca="false">($E24-D23)/$E24</f>
        <v>0.0325850115549686</v>
      </c>
      <c r="K23" s="0" t="n">
        <f aca="false">($E24-E23)/$E24</f>
        <v>0.0357213601848795</v>
      </c>
    </row>
    <row r="24" customFormat="false" ht="12.8" hidden="false" customHeight="false" outlineLevel="0" collapsed="false">
      <c r="A24" s="0" t="s">
        <v>6</v>
      </c>
      <c r="B24" s="0" t="n">
        <v>29284</v>
      </c>
      <c r="C24" s="0" t="n">
        <v>29404</v>
      </c>
      <c r="D24" s="0" t="n">
        <v>30113</v>
      </c>
      <c r="E24" s="0" t="n">
        <v>30290</v>
      </c>
    </row>
    <row r="25" customFormat="false" ht="12.8" hidden="false" customHeight="false" outlineLevel="0" collapsed="false">
      <c r="A25" s="0" t="s">
        <v>7</v>
      </c>
      <c r="B25" s="0" t="n">
        <v>30346</v>
      </c>
      <c r="C25" s="0" t="n">
        <v>30237</v>
      </c>
      <c r="D25" s="0" t="n">
        <v>29416</v>
      </c>
      <c r="E25" s="0" t="n">
        <v>29159</v>
      </c>
      <c r="H25" s="0" t="n">
        <f aca="false">($E26-B25)/$E26</f>
        <v>-0.00284203569068077</v>
      </c>
      <c r="I25" s="0" t="n">
        <f aca="false">($E26-C25)/$E26</f>
        <v>0.000760079312623926</v>
      </c>
      <c r="J25" s="0" t="n">
        <f aca="false">($E26-D25)/$E26</f>
        <v>0.0278916060806345</v>
      </c>
      <c r="K25" s="0" t="n">
        <f aca="false">($E26-E25)/$E26</f>
        <v>0.036384666226041</v>
      </c>
    </row>
    <row r="26" customFormat="false" ht="12.8" hidden="false" customHeight="false" outlineLevel="0" collapsed="false">
      <c r="A26" s="0" t="s">
        <v>8</v>
      </c>
      <c r="B26" s="0" t="n">
        <v>29205</v>
      </c>
      <c r="C26" s="0" t="n">
        <v>29339</v>
      </c>
      <c r="D26" s="0" t="n">
        <v>30053</v>
      </c>
      <c r="E26" s="0" t="n">
        <v>30260</v>
      </c>
    </row>
    <row r="27" customFormat="false" ht="12.8" hidden="false" customHeight="false" outlineLevel="0" collapsed="false">
      <c r="A27" s="0" t="s">
        <v>9</v>
      </c>
      <c r="B27" s="0" t="n">
        <v>30406</v>
      </c>
      <c r="C27" s="0" t="n">
        <v>30297</v>
      </c>
      <c r="D27" s="0" t="n">
        <v>29561</v>
      </c>
      <c r="E27" s="0" t="n">
        <v>29452</v>
      </c>
      <c r="H27" s="0" t="n">
        <f aca="false">($E28-B27)/$E28</f>
        <v>0.00663203632918423</v>
      </c>
      <c r="I27" s="0" t="n">
        <f aca="false">($E28-C27)/$E28</f>
        <v>0.0101930804665295</v>
      </c>
      <c r="J27" s="0" t="n">
        <f aca="false">($E28-D27)/$E28</f>
        <v>0.0342382959260348</v>
      </c>
      <c r="K27" s="0" t="n">
        <f aca="false">($E28-E27)/$E28</f>
        <v>0.0377993400633801</v>
      </c>
    </row>
    <row r="28" customFormat="false" ht="12.8" hidden="false" customHeight="false" outlineLevel="0" collapsed="false">
      <c r="A28" s="0" t="s">
        <v>10</v>
      </c>
      <c r="B28" s="0" t="n">
        <v>29524</v>
      </c>
      <c r="C28" s="0" t="n">
        <v>29656</v>
      </c>
      <c r="D28" s="0" t="n">
        <v>30408</v>
      </c>
      <c r="E28" s="0" t="n">
        <v>30609</v>
      </c>
    </row>
    <row r="29" customFormat="false" ht="12.8" hidden="false" customHeight="false" outlineLevel="0" collapsed="false">
      <c r="A29" s="0" t="s">
        <v>11</v>
      </c>
      <c r="B29" s="0" t="n">
        <v>30431</v>
      </c>
      <c r="C29" s="0" t="n">
        <v>30296</v>
      </c>
      <c r="D29" s="0" t="n">
        <v>29510</v>
      </c>
      <c r="E29" s="0" t="n">
        <v>29411</v>
      </c>
      <c r="H29" s="0" t="n">
        <f aca="false">($E30-B29)/$E30</f>
        <v>0.00594518668539509</v>
      </c>
      <c r="I29" s="0" t="n">
        <f aca="false">($E30-C29)/$E30</f>
        <v>0.0103550779080783</v>
      </c>
      <c r="J29" s="0" t="n">
        <f aca="false">($E30-D29)/$E30</f>
        <v>0.036030444582367</v>
      </c>
      <c r="K29" s="0" t="n">
        <f aca="false">($E30-E29)/$E30</f>
        <v>0.0392643648123346</v>
      </c>
    </row>
    <row r="30" customFormat="false" ht="12.8" hidden="false" customHeight="false" outlineLevel="0" collapsed="false">
      <c r="A30" s="0" t="s">
        <v>12</v>
      </c>
      <c r="B30" s="0" t="n">
        <v>29480</v>
      </c>
      <c r="C30" s="0" t="n">
        <v>29611</v>
      </c>
      <c r="D30" s="0" t="n">
        <v>30385</v>
      </c>
      <c r="E30" s="0" t="n">
        <v>30613</v>
      </c>
      <c r="L30" s="0" t="n">
        <f aca="false">AVERAGE(J2:K29)</f>
        <v>0.0356993477404763</v>
      </c>
    </row>
    <row r="31" customFormat="false" ht="12.8" hidden="false" customHeight="false" outlineLevel="0" collapsed="false">
      <c r="H31" s="1" t="n">
        <f aca="false">H19-H29</f>
        <v>0.120501463268243</v>
      </c>
      <c r="I31" s="1" t="n">
        <f aca="false">I19-I29</f>
        <v>0.0900261165010704</v>
      </c>
      <c r="J31" s="1" t="n">
        <f aca="false">J19-J29</f>
        <v>0.0224880484977525</v>
      </c>
      <c r="K31" s="1" t="n">
        <f aca="false">K19-K29</f>
        <v>0.00479621419106522</v>
      </c>
      <c r="L31" s="0" t="n">
        <f aca="false">STDEV(J3:K29)</f>
        <v>0.0105536966264801</v>
      </c>
    </row>
    <row r="35" customFormat="false" ht="12.8" hidden="false" customHeight="false" outlineLevel="0" collapsed="false">
      <c r="A35" s="0" t="s">
        <v>14</v>
      </c>
    </row>
    <row r="36" customFormat="false" ht="12.8" hidden="false" customHeight="false" outlineLevel="0" collapsed="false">
      <c r="A36" s="0" t="s">
        <v>1</v>
      </c>
      <c r="B36" s="0" t="n">
        <v>18594</v>
      </c>
      <c r="C36" s="0" t="n">
        <v>19377</v>
      </c>
      <c r="D36" s="0" t="n">
        <v>22285</v>
      </c>
      <c r="E36" s="0" t="n">
        <v>23536</v>
      </c>
      <c r="H36" s="0" t="n">
        <f aca="false">($E37-B36)/$E37</f>
        <v>0.277762672363566</v>
      </c>
      <c r="I36" s="0" t="n">
        <f aca="false">($E37-C36)/$E37</f>
        <v>0.247348999805788</v>
      </c>
      <c r="J36" s="0" t="n">
        <f aca="false">($E37-D36)/$E37</f>
        <v>0.134395028160808</v>
      </c>
      <c r="K36" s="0" t="n">
        <f aca="false">($E37-E36)/$E37</f>
        <v>0.0858030685570014</v>
      </c>
    </row>
    <row r="37" customFormat="false" ht="12.8" hidden="false" customHeight="false" outlineLevel="0" collapsed="false">
      <c r="A37" s="0" t="s">
        <v>2</v>
      </c>
      <c r="B37" s="0" t="n">
        <v>23687</v>
      </c>
      <c r="C37" s="0" t="n">
        <v>23836</v>
      </c>
      <c r="D37" s="0" t="n">
        <v>24849</v>
      </c>
      <c r="E37" s="0" t="n">
        <v>25745</v>
      </c>
    </row>
    <row r="38" customFormat="false" ht="12.8" hidden="false" customHeight="false" outlineLevel="0" collapsed="false">
      <c r="A38" s="0" t="s">
        <v>3</v>
      </c>
      <c r="B38" s="0" t="n">
        <v>27210</v>
      </c>
      <c r="C38" s="0" t="n">
        <v>27121</v>
      </c>
      <c r="D38" s="0" t="n">
        <v>26504</v>
      </c>
      <c r="E38" s="0" t="n">
        <v>26406</v>
      </c>
      <c r="H38" s="0" t="n">
        <f aca="false">($E39-B38)/$E39</f>
        <v>0.0200244903839228</v>
      </c>
      <c r="I38" s="0" t="n">
        <f aca="false">($E39-C38)/$E39</f>
        <v>0.0232298494561694</v>
      </c>
      <c r="J38" s="0" t="n">
        <f aca="false">($E39-D38)/$E39</f>
        <v>0.0454512713390478</v>
      </c>
      <c r="K38" s="0" t="n">
        <f aca="false">($E39-E38)/$E39</f>
        <v>0.0489807678455665</v>
      </c>
    </row>
    <row r="39" customFormat="false" ht="12.8" hidden="false" customHeight="false" outlineLevel="0" collapsed="false">
      <c r="A39" s="0" t="s">
        <v>4</v>
      </c>
      <c r="B39" s="0" t="n">
        <v>26498</v>
      </c>
      <c r="C39" s="0" t="n">
        <v>26616</v>
      </c>
      <c r="D39" s="0" t="n">
        <v>27352</v>
      </c>
      <c r="E39" s="0" t="n">
        <v>27766</v>
      </c>
    </row>
    <row r="40" customFormat="false" ht="12.8" hidden="false" customHeight="false" outlineLevel="0" collapsed="false">
      <c r="A40" s="0" t="s">
        <v>5</v>
      </c>
      <c r="B40" s="0" t="n">
        <v>28480</v>
      </c>
      <c r="C40" s="0" t="n">
        <v>28383</v>
      </c>
      <c r="D40" s="0" t="n">
        <v>27702</v>
      </c>
      <c r="E40" s="0" t="n">
        <v>27441</v>
      </c>
      <c r="H40" s="0" t="n">
        <f aca="false">($E41-B40)/$E41</f>
        <v>0.00603776218895055</v>
      </c>
      <c r="I40" s="0" t="n">
        <f aca="false">($E41-C40)/$E41</f>
        <v>0.0094230970578997</v>
      </c>
      <c r="J40" s="0" t="n">
        <f aca="false">($E41-D40)/$E41</f>
        <v>0.0331902418594912</v>
      </c>
      <c r="K40" s="0" t="n">
        <f aca="false">($E41-E40)/$E41</f>
        <v>0.0422992356821275</v>
      </c>
    </row>
    <row r="41" customFormat="false" ht="12.8" hidden="false" customHeight="false" outlineLevel="0" collapsed="false">
      <c r="A41" s="0" t="s">
        <v>6</v>
      </c>
      <c r="B41" s="0" t="n">
        <v>27514</v>
      </c>
      <c r="C41" s="0" t="n">
        <v>27639</v>
      </c>
      <c r="D41" s="0" t="n">
        <v>28320</v>
      </c>
      <c r="E41" s="0" t="n">
        <v>28653</v>
      </c>
    </row>
    <row r="42" customFormat="false" ht="12.8" hidden="false" customHeight="false" outlineLevel="0" collapsed="false">
      <c r="A42" s="0" t="s">
        <v>7</v>
      </c>
      <c r="B42" s="0" t="n">
        <v>29019</v>
      </c>
      <c r="C42" s="0" t="n">
        <v>28903</v>
      </c>
      <c r="D42" s="0" t="n">
        <v>28097</v>
      </c>
      <c r="E42" s="0" t="n">
        <v>27771</v>
      </c>
      <c r="H42" s="0" t="n">
        <f aca="false">($E43-B42)/$E43</f>
        <v>-0.00484781328993386</v>
      </c>
      <c r="I42" s="0" t="n">
        <f aca="false">($E43-C42)/$E43</f>
        <v>-0.000831053706845805</v>
      </c>
      <c r="J42" s="0" t="n">
        <f aca="false">($E43-D42)/$E43</f>
        <v>0.0270784999480591</v>
      </c>
      <c r="K42" s="0" t="n">
        <f aca="false">($E43-E42)/$E43</f>
        <v>0.038366979466048</v>
      </c>
    </row>
    <row r="43" customFormat="false" ht="12.8" hidden="false" customHeight="false" outlineLevel="0" collapsed="false">
      <c r="A43" s="0" t="s">
        <v>8</v>
      </c>
      <c r="B43" s="0" t="n">
        <v>27824</v>
      </c>
      <c r="C43" s="0" t="n">
        <v>27936</v>
      </c>
      <c r="D43" s="0" t="n">
        <v>28615</v>
      </c>
      <c r="E43" s="0" t="n">
        <v>28879</v>
      </c>
    </row>
    <row r="44" customFormat="false" ht="12.8" hidden="false" customHeight="false" outlineLevel="0" collapsed="false">
      <c r="A44" s="0" t="s">
        <v>9</v>
      </c>
      <c r="B44" s="0" t="n">
        <v>29133</v>
      </c>
      <c r="C44" s="0" t="n">
        <v>29028</v>
      </c>
      <c r="D44" s="0" t="n">
        <v>28281</v>
      </c>
      <c r="E44" s="0" t="n">
        <v>28104</v>
      </c>
      <c r="H44" s="0" t="n">
        <f aca="false">($E45-B44)/$E45</f>
        <v>0.0044084478162805</v>
      </c>
      <c r="I44" s="0" t="n">
        <f aca="false">($E45-C44)/$E45</f>
        <v>0.00799671929464835</v>
      </c>
      <c r="J44" s="0" t="n">
        <f aca="false">($E45-D44)/$E45</f>
        <v>0.0335247078121796</v>
      </c>
      <c r="K44" s="0" t="n">
        <f aca="false">($E45-E44)/$E45</f>
        <v>0.0395735083042854</v>
      </c>
    </row>
    <row r="45" customFormat="false" ht="12.8" hidden="false" customHeight="false" outlineLevel="0" collapsed="false">
      <c r="A45" s="0" t="s">
        <v>10</v>
      </c>
      <c r="B45" s="0" t="n">
        <v>28178</v>
      </c>
      <c r="C45" s="0" t="n">
        <v>28296</v>
      </c>
      <c r="D45" s="0" t="n">
        <v>28978</v>
      </c>
      <c r="E45" s="0" t="n">
        <v>29262</v>
      </c>
    </row>
    <row r="46" customFormat="false" ht="12.8" hidden="false" customHeight="false" outlineLevel="0" collapsed="false">
      <c r="A46" s="0" t="s">
        <v>11</v>
      </c>
      <c r="B46" s="0" t="n">
        <v>29535</v>
      </c>
      <c r="C46" s="0" t="n">
        <v>29438</v>
      </c>
      <c r="D46" s="0" t="n">
        <v>28615</v>
      </c>
      <c r="E46" s="0" t="n">
        <v>28259</v>
      </c>
      <c r="H46" s="0" t="n">
        <f aca="false">($E47-B46)/$E47</f>
        <v>-0.00846792092054495</v>
      </c>
      <c r="I46" s="0" t="n">
        <f aca="false">($E47-C46)/$E47</f>
        <v>-0.00515587120565439</v>
      </c>
      <c r="J46" s="0" t="n">
        <f aca="false">($E47-D46)/$E47</f>
        <v>0.0229453341072831</v>
      </c>
      <c r="K46" s="0" t="n">
        <f aca="false">($E47-E46)/$E47</f>
        <v>0.0351008980093557</v>
      </c>
    </row>
    <row r="47" customFormat="false" ht="12.8" hidden="false" customHeight="false" outlineLevel="0" collapsed="false">
      <c r="A47" s="0" t="s">
        <v>12</v>
      </c>
      <c r="B47" s="0" t="n">
        <v>28311</v>
      </c>
      <c r="C47" s="0" t="n">
        <v>28423</v>
      </c>
      <c r="D47" s="0" t="n">
        <v>29053</v>
      </c>
      <c r="E47" s="0" t="n">
        <v>29287</v>
      </c>
    </row>
    <row r="48" customFormat="false" ht="12.8" hidden="false" customHeight="false" outlineLevel="0" collapsed="false">
      <c r="H48" s="2" t="n">
        <f aca="false">H36-H46</f>
        <v>0.286230593284111</v>
      </c>
      <c r="I48" s="2" t="n">
        <f aca="false">I36-I46</f>
        <v>0.252504871011442</v>
      </c>
      <c r="J48" s="2" t="n">
        <f aca="false">J36-J46</f>
        <v>0.111449694053525</v>
      </c>
      <c r="K48" s="2" t="n">
        <f aca="false">K36-K46</f>
        <v>0.0507021705476457</v>
      </c>
    </row>
    <row r="51" customFormat="false" ht="12.8" hidden="false" customHeight="false" outlineLevel="0" collapsed="false">
      <c r="A51" s="0" t="s">
        <v>15</v>
      </c>
    </row>
    <row r="52" customFormat="false" ht="12.8" hidden="false" customHeight="false" outlineLevel="0" collapsed="false">
      <c r="A52" s="0" t="s">
        <v>1</v>
      </c>
      <c r="B52" s="0" t="n">
        <v>17575</v>
      </c>
      <c r="C52" s="0" t="n">
        <v>18479</v>
      </c>
      <c r="D52" s="0" t="n">
        <v>21677</v>
      </c>
      <c r="E52" s="0" t="n">
        <v>23121</v>
      </c>
      <c r="H52" s="0" t="n">
        <f aca="false">($E53-B52)/$E53</f>
        <v>0.316573339555141</v>
      </c>
      <c r="I52" s="0" t="n">
        <f aca="false">($E53-C52)/$E53</f>
        <v>0.281420127547052</v>
      </c>
      <c r="J52" s="0" t="n">
        <f aca="false">($E53-D52)/$E53</f>
        <v>0.157061751438793</v>
      </c>
      <c r="K52" s="0" t="n">
        <f aca="false">($E53-E52)/$E53</f>
        <v>0.100909939337378</v>
      </c>
    </row>
    <row r="53" customFormat="false" ht="12.8" hidden="false" customHeight="false" outlineLevel="0" collapsed="false">
      <c r="A53" s="0" t="s">
        <v>2</v>
      </c>
      <c r="B53" s="0" t="n">
        <v>23295</v>
      </c>
      <c r="C53" s="0" t="n">
        <v>23468</v>
      </c>
      <c r="D53" s="0" t="n">
        <v>24785</v>
      </c>
      <c r="E53" s="0" t="n">
        <v>25716</v>
      </c>
    </row>
    <row r="54" customFormat="false" ht="12.8" hidden="false" customHeight="false" outlineLevel="0" collapsed="false">
      <c r="A54" s="0" t="s">
        <v>3</v>
      </c>
      <c r="B54" s="0" t="n">
        <v>27334</v>
      </c>
      <c r="C54" s="0" t="n">
        <v>27278</v>
      </c>
      <c r="D54" s="0" t="n">
        <v>26862</v>
      </c>
      <c r="E54" s="0" t="n">
        <v>26989</v>
      </c>
      <c r="H54" s="0" t="n">
        <f aca="false">($E55-B54)/$E55</f>
        <v>0.0303309801695697</v>
      </c>
      <c r="I54" s="0" t="n">
        <f aca="false">($E55-C54)/$E55</f>
        <v>0.0323175706836</v>
      </c>
      <c r="J54" s="0" t="n">
        <f aca="false">($E55-D54)/$E55</f>
        <v>0.0470751002163965</v>
      </c>
      <c r="K54" s="0" t="n">
        <f aca="false">($E55-E54)/$E55</f>
        <v>0.0425697967292206</v>
      </c>
    </row>
    <row r="55" customFormat="false" ht="12.8" hidden="false" customHeight="false" outlineLevel="0" collapsed="false">
      <c r="A55" s="0" t="s">
        <v>4</v>
      </c>
      <c r="B55" s="0" t="n">
        <v>27080</v>
      </c>
      <c r="C55" s="0" t="n">
        <v>27231</v>
      </c>
      <c r="D55" s="0" t="n">
        <v>27942</v>
      </c>
      <c r="E55" s="0" t="n">
        <v>28189</v>
      </c>
    </row>
    <row r="56" customFormat="false" ht="12.8" hidden="false" customHeight="false" outlineLevel="0" collapsed="false">
      <c r="A56" s="0" t="s">
        <v>5</v>
      </c>
      <c r="B56" s="0" t="n">
        <v>28599</v>
      </c>
      <c r="C56" s="0" t="n">
        <v>28508</v>
      </c>
      <c r="D56" s="0" t="n">
        <v>27922</v>
      </c>
      <c r="E56" s="0" t="n">
        <v>27868</v>
      </c>
      <c r="H56" s="0" t="n">
        <f aca="false">($E57-B56)/$E57</f>
        <v>0.0148806448279425</v>
      </c>
      <c r="I56" s="0" t="n">
        <f aca="false">($E57-C56)/$E57</f>
        <v>0.018015225104199</v>
      </c>
      <c r="J56" s="0" t="n">
        <f aca="false">($E57-D56)/$E57</f>
        <v>0.0382005442458062</v>
      </c>
      <c r="K56" s="0" t="n">
        <f aca="false">($E57-E56)/$E57</f>
        <v>0.040060624849299</v>
      </c>
    </row>
    <row r="57" customFormat="false" ht="12.8" hidden="false" customHeight="false" outlineLevel="0" collapsed="false">
      <c r="A57" s="0" t="s">
        <v>6</v>
      </c>
      <c r="B57" s="0" t="n">
        <v>27940</v>
      </c>
      <c r="C57" s="0" t="n">
        <v>28075</v>
      </c>
      <c r="D57" s="0" t="n">
        <v>28818</v>
      </c>
      <c r="E57" s="0" t="n">
        <v>29031</v>
      </c>
    </row>
    <row r="58" customFormat="false" ht="12.8" hidden="false" customHeight="false" outlineLevel="0" collapsed="false">
      <c r="A58" s="0" t="s">
        <v>7</v>
      </c>
      <c r="B58" s="0" t="n">
        <v>29205</v>
      </c>
      <c r="C58" s="0" t="n">
        <v>29108</v>
      </c>
      <c r="D58" s="0" t="n">
        <v>28450</v>
      </c>
      <c r="E58" s="0" t="n">
        <v>28254</v>
      </c>
      <c r="H58" s="0" t="n">
        <f aca="false">($E59-B58)/$E59</f>
        <v>0.00140190111468235</v>
      </c>
      <c r="I58" s="0" t="n">
        <f aca="false">($E59-C58)/$E59</f>
        <v>0.0047185939957601</v>
      </c>
      <c r="J58" s="0" t="n">
        <f aca="false">($E59-D58)/$E59</f>
        <v>0.0272173972509061</v>
      </c>
      <c r="K58" s="0" t="n">
        <f aca="false">($E59-E58)/$E59</f>
        <v>0.03391916843329</v>
      </c>
    </row>
    <row r="59" customFormat="false" ht="12.8" hidden="false" customHeight="false" outlineLevel="0" collapsed="false">
      <c r="A59" s="0" t="s">
        <v>8</v>
      </c>
      <c r="B59" s="0" t="n">
        <v>28303</v>
      </c>
      <c r="C59" s="0" t="n">
        <v>28428</v>
      </c>
      <c r="D59" s="0" t="n">
        <v>29093</v>
      </c>
      <c r="E59" s="0" t="n">
        <v>29246</v>
      </c>
    </row>
    <row r="60" customFormat="false" ht="12.8" hidden="false" customHeight="false" outlineLevel="0" collapsed="false">
      <c r="A60" s="0" t="s">
        <v>9</v>
      </c>
      <c r="B60" s="0" t="n">
        <v>29361</v>
      </c>
      <c r="C60" s="0" t="n">
        <v>29270</v>
      </c>
      <c r="D60" s="0" t="n">
        <v>28549</v>
      </c>
      <c r="E60" s="0" t="n">
        <v>28426</v>
      </c>
      <c r="H60" s="0" t="n">
        <f aca="false">($E61-B60)/$E61</f>
        <v>0.010714646719903</v>
      </c>
      <c r="I60" s="0" t="n">
        <f aca="false">($E61-C60)/$E61</f>
        <v>0.0137807877623909</v>
      </c>
      <c r="J60" s="0" t="n">
        <f aca="false">($E61-D60)/$E61</f>
        <v>0.0380740590990262</v>
      </c>
      <c r="K60" s="0" t="n">
        <f aca="false">($E61-E60)/$E61</f>
        <v>0.0422184035850265</v>
      </c>
    </row>
    <row r="61" customFormat="false" ht="12.8" hidden="false" customHeight="false" outlineLevel="0" collapsed="false">
      <c r="A61" s="0" t="s">
        <v>10</v>
      </c>
      <c r="B61" s="0" t="n">
        <v>28502</v>
      </c>
      <c r="C61" s="0" t="n">
        <v>28644</v>
      </c>
      <c r="D61" s="0" t="n">
        <v>29436</v>
      </c>
      <c r="E61" s="0" t="n">
        <v>29679</v>
      </c>
    </row>
    <row r="62" customFormat="false" ht="12.8" hidden="false" customHeight="false" outlineLevel="0" collapsed="false">
      <c r="A62" s="0" t="s">
        <v>11</v>
      </c>
      <c r="B62" s="0" t="n">
        <v>29581</v>
      </c>
      <c r="C62" s="0" t="n">
        <v>29460</v>
      </c>
      <c r="D62" s="0" t="n">
        <v>28698</v>
      </c>
      <c r="E62" s="0" t="n">
        <v>28513</v>
      </c>
      <c r="H62" s="0" t="n">
        <f aca="false">($E63-B62)/$E63</f>
        <v>0.00801475519785379</v>
      </c>
      <c r="I62" s="0" t="n">
        <f aca="false">($E63-C62)/$E63</f>
        <v>0.0120724346076459</v>
      </c>
      <c r="J62" s="0" t="n">
        <f aca="false">($E63-D62)/$E63</f>
        <v>0.037625754527163</v>
      </c>
      <c r="K62" s="0" t="n">
        <f aca="false">($E63-E62)/$E63</f>
        <v>0.0438296445338699</v>
      </c>
    </row>
    <row r="63" customFormat="false" ht="12.8" hidden="false" customHeight="false" outlineLevel="0" collapsed="false">
      <c r="A63" s="0" t="s">
        <v>12</v>
      </c>
      <c r="B63" s="0" t="n">
        <v>28583</v>
      </c>
      <c r="C63" s="0" t="n">
        <v>28745</v>
      </c>
      <c r="D63" s="0" t="n">
        <v>29543</v>
      </c>
      <c r="E63" s="0" t="n">
        <v>29820</v>
      </c>
      <c r="L63" s="0" t="n">
        <f aca="false">AVERAGE(J36:K62)</f>
        <v>0.0537547534591769</v>
      </c>
    </row>
    <row r="64" customFormat="false" ht="12.8" hidden="false" customHeight="false" outlineLevel="0" collapsed="false">
      <c r="H64" s="2" t="n">
        <f aca="false">H52-H62</f>
        <v>0.308558584357287</v>
      </c>
      <c r="I64" s="2" t="n">
        <f aca="false">I52-I62</f>
        <v>0.269347692939407</v>
      </c>
      <c r="J64" s="2" t="n">
        <f aca="false">J52-J62</f>
        <v>0.11943599691163</v>
      </c>
      <c r="K64" s="2" t="n">
        <f aca="false">K52-K62</f>
        <v>0.0570802948035076</v>
      </c>
      <c r="L64" s="0" t="n">
        <f aca="false">STDEV(J36:K62)</f>
        <v>0.0344675101800753</v>
      </c>
      <c r="M64" s="0" t="n">
        <f aca="false">L63/L64</f>
        <v>1.5595775029393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58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J24" activeCellId="0" sqref="J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93"/>
  </cols>
  <sheetData>
    <row r="2" customFormat="false" ht="12.8" hidden="false" customHeight="false" outlineLevel="0" collapsed="false">
      <c r="A2" s="0" t="s">
        <v>16</v>
      </c>
    </row>
    <row r="3" customFormat="false" ht="12.8" hidden="false" customHeight="false" outlineLevel="0" collapsed="false">
      <c r="A3" s="0" t="s">
        <v>1</v>
      </c>
      <c r="B3" s="0" t="n">
        <v>45146</v>
      </c>
      <c r="C3" s="0" t="n">
        <v>45197</v>
      </c>
      <c r="D3" s="0" t="n">
        <v>45125</v>
      </c>
      <c r="E3" s="0" t="n">
        <v>45070</v>
      </c>
      <c r="G3" s="0" t="n">
        <f aca="false">($E4-B3)/$E4</f>
        <v>0.0139134613284407</v>
      </c>
      <c r="H3" s="0" t="n">
        <f aca="false">($E4-C3)/$E4</f>
        <v>0.0127995107354258</v>
      </c>
      <c r="I3" s="0" t="n">
        <f aca="false">($E4-D3)/$E4</f>
        <v>0.0143721468667409</v>
      </c>
      <c r="J3" s="0" t="n">
        <f aca="false">($E4-E3)/$E4</f>
        <v>0.0155734661337178</v>
      </c>
    </row>
    <row r="4" customFormat="false" ht="12.8" hidden="false" customHeight="false" outlineLevel="0" collapsed="false">
      <c r="A4" s="0" t="s">
        <v>2</v>
      </c>
      <c r="B4" s="0" t="n">
        <v>45146</v>
      </c>
      <c r="C4" s="0" t="n">
        <v>45249</v>
      </c>
      <c r="D4" s="0" t="n">
        <v>45595</v>
      </c>
      <c r="E4" s="0" t="n">
        <v>45783</v>
      </c>
    </row>
    <row r="5" customFormat="false" ht="12.8" hidden="false" customHeight="false" outlineLevel="0" collapsed="false">
      <c r="A5" s="0" t="s">
        <v>3</v>
      </c>
      <c r="B5" s="0" t="n">
        <v>45857</v>
      </c>
      <c r="C5" s="0" t="n">
        <v>45728</v>
      </c>
      <c r="D5" s="0" t="n">
        <v>45387</v>
      </c>
      <c r="E5" s="0" t="n">
        <v>45286</v>
      </c>
      <c r="G5" s="0" t="n">
        <f aca="false">($E6-B5)/$E6</f>
        <v>0.00139369787243309</v>
      </c>
      <c r="H5" s="0" t="n">
        <f aca="false">($E6-C5)/$E6</f>
        <v>0.00420287014655604</v>
      </c>
      <c r="I5" s="0" t="n">
        <f aca="false">($E6-D5)/$E6</f>
        <v>0.0116286666231136</v>
      </c>
      <c r="J5" s="0" t="n">
        <f aca="false">($E6-E5)/$E6</f>
        <v>0.0138280960780471</v>
      </c>
    </row>
    <row r="6" customFormat="false" ht="12.8" hidden="false" customHeight="false" outlineLevel="0" collapsed="false">
      <c r="A6" s="0" t="s">
        <v>4</v>
      </c>
      <c r="B6" s="0" t="n">
        <v>45342</v>
      </c>
      <c r="C6" s="0" t="n">
        <v>45448</v>
      </c>
      <c r="D6" s="0" t="n">
        <v>45737</v>
      </c>
      <c r="E6" s="0" t="n">
        <v>45921</v>
      </c>
    </row>
    <row r="7" customFormat="false" ht="12.8" hidden="false" customHeight="false" outlineLevel="0" collapsed="false">
      <c r="A7" s="0" t="s">
        <v>5</v>
      </c>
      <c r="B7" s="0" t="n">
        <v>45939</v>
      </c>
      <c r="C7" s="0" t="n">
        <v>45807</v>
      </c>
      <c r="D7" s="0" t="n">
        <v>45343</v>
      </c>
      <c r="E7" s="0" t="n">
        <v>45079</v>
      </c>
      <c r="G7" s="0" t="n">
        <f aca="false">($E8-B7)/$E8</f>
        <v>-0.00862863917797392</v>
      </c>
      <c r="H7" s="0" t="n">
        <f aca="false">($E8-C7)/$E8</f>
        <v>-0.00573047029376894</v>
      </c>
      <c r="I7" s="0" t="n">
        <f aca="false">($E8-D7)/$E8</f>
        <v>0.00445703245070917</v>
      </c>
      <c r="J7" s="0" t="n">
        <f aca="false">($E8-E7)/$E8</f>
        <v>0.0102533702191191</v>
      </c>
    </row>
    <row r="8" customFormat="false" ht="12.8" hidden="false" customHeight="false" outlineLevel="0" collapsed="false">
      <c r="A8" s="0" t="s">
        <v>6</v>
      </c>
      <c r="B8" s="0" t="n">
        <v>45111</v>
      </c>
      <c r="C8" s="0" t="n">
        <v>45220</v>
      </c>
      <c r="D8" s="0" t="n">
        <v>45427</v>
      </c>
      <c r="E8" s="0" t="n">
        <v>45546</v>
      </c>
    </row>
    <row r="9" customFormat="false" ht="12.8" hidden="false" customHeight="false" outlineLevel="0" collapsed="false">
      <c r="A9" s="0" t="s">
        <v>7</v>
      </c>
      <c r="B9" s="0" t="n">
        <v>46093</v>
      </c>
      <c r="C9" s="0" t="n">
        <v>45951</v>
      </c>
      <c r="D9" s="0" t="n">
        <v>45607</v>
      </c>
      <c r="E9" s="0" t="n">
        <v>45435</v>
      </c>
      <c r="G9" s="0" t="n">
        <f aca="false">($E10-B9)/$E10</f>
        <v>-0.0039860596819865</v>
      </c>
      <c r="H9" s="0" t="n">
        <f aca="false">($E10-C9)/$E10</f>
        <v>-0.000893051622740144</v>
      </c>
      <c r="I9" s="0" t="n">
        <f aca="false">($E10-D9)/$E10</f>
        <v>0.00659986930951862</v>
      </c>
      <c r="J9" s="0" t="n">
        <f aca="false">($E10-E9)/$E10</f>
        <v>0.010346329775648</v>
      </c>
    </row>
    <row r="10" customFormat="false" ht="12.8" hidden="false" customHeight="false" outlineLevel="0" collapsed="false">
      <c r="A10" s="0" t="s">
        <v>8</v>
      </c>
      <c r="B10" s="0" t="n">
        <v>45493</v>
      </c>
      <c r="C10" s="0" t="n">
        <v>45608</v>
      </c>
      <c r="D10" s="0" t="n">
        <v>45844</v>
      </c>
      <c r="E10" s="0" t="n">
        <v>45910</v>
      </c>
    </row>
    <row r="11" customFormat="false" ht="12.8" hidden="false" customHeight="false" outlineLevel="0" collapsed="false">
      <c r="A11" s="0" t="s">
        <v>9</v>
      </c>
      <c r="B11" s="0" t="n">
        <v>46208</v>
      </c>
      <c r="C11" s="0" t="n">
        <v>46061</v>
      </c>
      <c r="D11" s="0" t="n">
        <v>45618</v>
      </c>
      <c r="E11" s="0" t="n">
        <v>45342</v>
      </c>
      <c r="G11" s="0" t="n">
        <f aca="false">($E12-B11)/$E12</f>
        <v>-0.0102096587306793</v>
      </c>
      <c r="H11" s="0" t="n">
        <f aca="false">($E12-C11)/$E12</f>
        <v>-0.00699591176406288</v>
      </c>
      <c r="I11" s="0" t="n">
        <f aca="false">($E12-D11)/$E12</f>
        <v>0.00268905358431167</v>
      </c>
      <c r="J11" s="0" t="n">
        <f aca="false">($E12-E11)/$E12</f>
        <v>0.0087230274808159</v>
      </c>
    </row>
    <row r="12" customFormat="false" ht="12.8" hidden="false" customHeight="false" outlineLevel="0" collapsed="false">
      <c r="A12" s="0" t="s">
        <v>10</v>
      </c>
      <c r="B12" s="0" t="n">
        <v>45370</v>
      </c>
      <c r="C12" s="0" t="n">
        <v>45464</v>
      </c>
      <c r="D12" s="0" t="n">
        <v>45666</v>
      </c>
      <c r="E12" s="0" t="n">
        <v>45741</v>
      </c>
    </row>
    <row r="13" customFormat="false" ht="12.8" hidden="false" customHeight="false" outlineLevel="0" collapsed="false">
      <c r="A13" s="0" t="s">
        <v>11</v>
      </c>
      <c r="B13" s="0" t="n">
        <v>46022</v>
      </c>
      <c r="C13" s="0" t="n">
        <v>45918</v>
      </c>
      <c r="D13" s="0" t="n">
        <v>45567</v>
      </c>
      <c r="E13" s="0" t="n">
        <v>45402</v>
      </c>
      <c r="G13" s="0" t="n">
        <f aca="false">($E14-B13)/$E14</f>
        <v>-0.00134899912967798</v>
      </c>
      <c r="H13" s="0" t="n">
        <f aca="false">($E14-C13)/$E14</f>
        <v>0.000913838120104439</v>
      </c>
      <c r="I13" s="0" t="n">
        <f aca="false">($E14-D13)/$E14</f>
        <v>0.0085509138381201</v>
      </c>
      <c r="J13" s="0" t="n">
        <f aca="false">($E14-E13)/$E14</f>
        <v>0.0121409921671018</v>
      </c>
    </row>
    <row r="14" customFormat="false" ht="12.8" hidden="false" customHeight="false" outlineLevel="0" collapsed="false">
      <c r="A14" s="0" t="s">
        <v>12</v>
      </c>
      <c r="B14" s="0" t="n">
        <v>45475</v>
      </c>
      <c r="C14" s="0" t="n">
        <v>45584</v>
      </c>
      <c r="D14" s="0" t="n">
        <v>45872</v>
      </c>
      <c r="E14" s="0" t="n">
        <v>45960</v>
      </c>
      <c r="K14" s="0" t="n">
        <f aca="false">AVERAGE(I3:J13)</f>
        <v>0.00993024704391365</v>
      </c>
    </row>
    <row r="15" customFormat="false" ht="12.8" hidden="false" customHeight="false" outlineLevel="0" collapsed="false">
      <c r="G15" s="3" t="n">
        <f aca="false">G3-G13</f>
        <v>0.0152624604581187</v>
      </c>
      <c r="H15" s="3" t="n">
        <f aca="false">H3-H13</f>
        <v>0.0118856726153214</v>
      </c>
      <c r="I15" s="3" t="n">
        <f aca="false">I3-I13</f>
        <v>0.00582123302862082</v>
      </c>
      <c r="J15" s="3" t="n">
        <f aca="false">J3-J13</f>
        <v>0.00343247396661593</v>
      </c>
      <c r="K15" s="0" t="n">
        <f aca="false">STDEV(I3:J13)</f>
        <v>0.00395039117786516</v>
      </c>
    </row>
    <row r="17" customFormat="false" ht="12.8" hidden="false" customHeight="false" outlineLevel="0" collapsed="false">
      <c r="A17" s="0" t="s">
        <v>17</v>
      </c>
    </row>
    <row r="18" customFormat="false" ht="12.8" hidden="false" customHeight="false" outlineLevel="0" collapsed="false">
      <c r="A18" s="0" t="s">
        <v>1</v>
      </c>
      <c r="B18" s="0" t="n">
        <v>44804</v>
      </c>
      <c r="C18" s="0" t="n">
        <v>44834</v>
      </c>
      <c r="D18" s="0" t="n">
        <v>44720</v>
      </c>
      <c r="E18" s="0" t="n">
        <v>44610</v>
      </c>
      <c r="G18" s="0" t="n">
        <f aca="false">($E19-B18)/$E19</f>
        <v>0.009330915844868</v>
      </c>
      <c r="H18" s="0" t="n">
        <f aca="false">($E19-C18)/$E19</f>
        <v>0.00866758059523283</v>
      </c>
      <c r="I18" s="0" t="n">
        <f aca="false">($E19-D18)/$E19</f>
        <v>0.0111882545438465</v>
      </c>
      <c r="J18" s="0" t="n">
        <f aca="false">($E19-E18)/$E19</f>
        <v>0.0136204837925087</v>
      </c>
    </row>
    <row r="19" customFormat="false" ht="12.8" hidden="false" customHeight="false" outlineLevel="0" collapsed="false">
      <c r="A19" s="0" t="s">
        <v>2</v>
      </c>
      <c r="B19" s="0" t="n">
        <v>44664</v>
      </c>
      <c r="C19" s="0" t="n">
        <v>44715</v>
      </c>
      <c r="D19" s="0" t="n">
        <v>45040</v>
      </c>
      <c r="E19" s="0" t="n">
        <v>45226</v>
      </c>
    </row>
    <row r="20" customFormat="false" ht="12.8" hidden="false" customHeight="false" outlineLevel="0" collapsed="false">
      <c r="A20" s="0" t="s">
        <v>3</v>
      </c>
      <c r="B20" s="0" t="n">
        <v>45514</v>
      </c>
      <c r="C20" s="0" t="n">
        <v>45451</v>
      </c>
      <c r="D20" s="0" t="n">
        <v>45006</v>
      </c>
      <c r="E20" s="0" t="n">
        <v>44810</v>
      </c>
      <c r="G20" s="0" t="n">
        <f aca="false">($E21-B20)/$E21</f>
        <v>-0.00198133145473758</v>
      </c>
      <c r="H20" s="0" t="n">
        <f aca="false">($E21-C20)/$E21</f>
        <v>-0.000594399436421275</v>
      </c>
      <c r="I20" s="0" t="n">
        <f aca="false">($E21-D20)/$E21</f>
        <v>0.009202183867559</v>
      </c>
      <c r="J20" s="0" t="n">
        <f aca="false">($E21-E20)/$E21</f>
        <v>0.0135170834800986</v>
      </c>
    </row>
    <row r="21" customFormat="false" ht="12.8" hidden="false" customHeight="false" outlineLevel="0" collapsed="false">
      <c r="A21" s="0" t="s">
        <v>4</v>
      </c>
      <c r="B21" s="0" t="n">
        <v>44906</v>
      </c>
      <c r="C21" s="0" t="n">
        <v>44955</v>
      </c>
      <c r="D21" s="0" t="n">
        <v>45262</v>
      </c>
      <c r="E21" s="0" t="n">
        <v>45424</v>
      </c>
    </row>
    <row r="22" customFormat="false" ht="12.8" hidden="false" customHeight="false" outlineLevel="0" collapsed="false">
      <c r="A22" s="0" t="s">
        <v>5</v>
      </c>
      <c r="B22" s="0" t="n">
        <v>45647</v>
      </c>
      <c r="C22" s="0" t="n">
        <v>45570</v>
      </c>
      <c r="D22" s="0" t="n">
        <v>45125</v>
      </c>
      <c r="E22" s="0" t="n">
        <v>44916</v>
      </c>
      <c r="G22" s="0" t="n">
        <f aca="false">($E23-B22)/$E23</f>
        <v>-0.00358367777680063</v>
      </c>
      <c r="H22" s="0" t="n">
        <f aca="false">($E23-C22)/$E23</f>
        <v>-0.00189077477794389</v>
      </c>
      <c r="I22" s="0" t="n">
        <f aca="false">($E23-D22)/$E23</f>
        <v>0.00789288541025416</v>
      </c>
      <c r="J22" s="0" t="n">
        <f aca="false">($E23-E22)/$E23</f>
        <v>0.0124879078357225</v>
      </c>
    </row>
    <row r="23" customFormat="false" ht="12.8" hidden="false" customHeight="false" outlineLevel="0" collapsed="false">
      <c r="A23" s="0" t="s">
        <v>6</v>
      </c>
      <c r="B23" s="0" t="n">
        <v>44973</v>
      </c>
      <c r="C23" s="0" t="n">
        <v>45038</v>
      </c>
      <c r="D23" s="0" t="n">
        <v>45328</v>
      </c>
      <c r="E23" s="0" t="n">
        <v>45484</v>
      </c>
    </row>
    <row r="24" customFormat="false" ht="12.8" hidden="false" customHeight="false" outlineLevel="0" collapsed="false">
      <c r="A24" s="0" t="s">
        <v>7</v>
      </c>
      <c r="B24" s="0" t="n">
        <v>45691</v>
      </c>
      <c r="C24" s="0" t="n">
        <v>45595</v>
      </c>
      <c r="D24" s="0" t="n">
        <v>45036</v>
      </c>
      <c r="E24" s="0" t="n">
        <v>44758</v>
      </c>
      <c r="G24" s="0" t="n">
        <f aca="false">($E25-B24)/$E25</f>
        <v>-0.00727497189215405</v>
      </c>
      <c r="H24" s="0" t="n">
        <f aca="false">($E25-C24)/$E25</f>
        <v>-0.00515861643261833</v>
      </c>
      <c r="I24" s="0" t="n">
        <f aca="false">($E25-D24)/$E25</f>
        <v>0.00716474504530323</v>
      </c>
      <c r="J24" s="0" t="n">
        <f aca="false">($E25-E24)/$E25</f>
        <v>0.0132933577302088</v>
      </c>
    </row>
    <row r="25" customFormat="false" ht="12.8" hidden="false" customHeight="false" outlineLevel="0" collapsed="false">
      <c r="A25" s="0" t="s">
        <v>8</v>
      </c>
      <c r="B25" s="0" t="n">
        <v>44813</v>
      </c>
      <c r="C25" s="0" t="n">
        <v>44858</v>
      </c>
      <c r="D25" s="0" t="n">
        <v>45184</v>
      </c>
      <c r="E25" s="0" t="n">
        <v>45361</v>
      </c>
    </row>
    <row r="26" customFormat="false" ht="12.8" hidden="false" customHeight="false" outlineLevel="0" collapsed="false">
      <c r="A26" s="0" t="s">
        <v>9</v>
      </c>
      <c r="B26" s="0" t="n">
        <v>45662</v>
      </c>
      <c r="C26" s="0" t="n">
        <v>45583</v>
      </c>
      <c r="D26" s="0" t="n">
        <v>45126</v>
      </c>
      <c r="E26" s="0" t="n">
        <v>44965</v>
      </c>
      <c r="G26" s="0" t="n">
        <f aca="false">($E27-B26)/$E27</f>
        <v>-0.00133768996293941</v>
      </c>
      <c r="H26" s="0" t="n">
        <f aca="false">($E27-C26)/$E27</f>
        <v>0.000394728185785399</v>
      </c>
      <c r="I26" s="0" t="n">
        <f aca="false">($E27-D26)/$E27</f>
        <v>0.0104164382360036</v>
      </c>
      <c r="J26" s="0" t="n">
        <f aca="false">($E27-E26)/$E27</f>
        <v>0.0139470625644174</v>
      </c>
    </row>
    <row r="27" customFormat="false" ht="12.8" hidden="false" customHeight="false" outlineLevel="0" collapsed="false">
      <c r="A27" s="0" t="s">
        <v>10</v>
      </c>
      <c r="B27" s="0" t="n">
        <v>45037</v>
      </c>
      <c r="C27" s="0" t="n">
        <v>45084</v>
      </c>
      <c r="D27" s="0" t="n">
        <v>45428</v>
      </c>
      <c r="E27" s="0" t="n">
        <v>45601</v>
      </c>
    </row>
    <row r="28" customFormat="false" ht="12.8" hidden="false" customHeight="false" outlineLevel="0" collapsed="false">
      <c r="A28" s="0" t="s">
        <v>11</v>
      </c>
      <c r="B28" s="0" t="n">
        <v>45555</v>
      </c>
      <c r="C28" s="0" t="n">
        <v>45497</v>
      </c>
      <c r="D28" s="0" t="n">
        <v>45036</v>
      </c>
      <c r="E28" s="0" t="n">
        <v>44858</v>
      </c>
      <c r="G28" s="0" t="n">
        <f aca="false">($E29-B28)/$E29</f>
        <v>-0.00103278544431748</v>
      </c>
      <c r="H28" s="0" t="n">
        <f aca="false">($E29-C28)/$E29</f>
        <v>0.00024171574228707</v>
      </c>
      <c r="I28" s="0" t="n">
        <f aca="false">($E29-D28)/$E29</f>
        <v>0.0103718027599543</v>
      </c>
      <c r="J28" s="0" t="n">
        <f aca="false">($E29-E28)/$E29</f>
        <v>0.0142832029533269</v>
      </c>
    </row>
    <row r="29" customFormat="false" ht="12.8" hidden="false" customHeight="false" outlineLevel="0" collapsed="false">
      <c r="A29" s="0" t="s">
        <v>12</v>
      </c>
      <c r="B29" s="0" t="n">
        <v>44922</v>
      </c>
      <c r="C29" s="0" t="n">
        <v>44988</v>
      </c>
      <c r="D29" s="0" t="n">
        <v>45367</v>
      </c>
      <c r="E29" s="0" t="n">
        <v>45508</v>
      </c>
      <c r="K29" s="0" t="n">
        <f aca="false">AVERAGE(G2:J28)</f>
        <v>0.00546464411167607</v>
      </c>
    </row>
    <row r="30" customFormat="false" ht="12.8" hidden="false" customHeight="false" outlineLevel="0" collapsed="false">
      <c r="G30" s="3" t="n">
        <f aca="false">G18-G28</f>
        <v>0.0103637012891855</v>
      </c>
      <c r="H30" s="3" t="n">
        <f aca="false">H18-H28</f>
        <v>0.00842586485294576</v>
      </c>
      <c r="I30" s="3" t="n">
        <f aca="false">I18-I28</f>
        <v>0.000816451783892168</v>
      </c>
      <c r="J30" s="3" t="n">
        <f aca="false">J18-J28</f>
        <v>-0.000662719160818155</v>
      </c>
      <c r="K30" s="0" t="n">
        <f aca="false">STDEV(G3:J28)</f>
        <v>0.00738749822092492</v>
      </c>
    </row>
    <row r="31" customFormat="false" ht="12.8" hidden="false" customHeight="false" outlineLevel="0" collapsed="false">
      <c r="A31" s="0" t="s">
        <v>18</v>
      </c>
    </row>
    <row r="32" customFormat="false" ht="12.8" hidden="false" customHeight="false" outlineLevel="0" collapsed="false">
      <c r="A32" s="0" t="s">
        <v>1</v>
      </c>
      <c r="B32" s="0" t="n">
        <v>37524</v>
      </c>
      <c r="C32" s="0" t="n">
        <v>39870</v>
      </c>
      <c r="D32" s="0" t="n">
        <v>42675</v>
      </c>
      <c r="E32" s="0" t="n">
        <v>43435</v>
      </c>
      <c r="G32" s="0" t="n">
        <f aca="false">($E33-B32)/$E33</f>
        <v>0.163083236684807</v>
      </c>
      <c r="H32" s="0" t="n">
        <f aca="false">($E33-C32)/$E33</f>
        <v>0.110759211348024</v>
      </c>
      <c r="I32" s="0" t="n">
        <f aca="false">($E33-D32)/$E33</f>
        <v>0.0481978767062182</v>
      </c>
      <c r="J32" s="0" t="n">
        <f aca="false">($E33-E32)/$E33</f>
        <v>0.0312472120617361</v>
      </c>
    </row>
    <row r="33" customFormat="false" ht="12.8" hidden="false" customHeight="false" outlineLevel="0" collapsed="false">
      <c r="A33" s="0" t="s">
        <v>2</v>
      </c>
      <c r="B33" s="0" t="n">
        <v>43609</v>
      </c>
      <c r="C33" s="0" t="n">
        <v>43789</v>
      </c>
      <c r="D33" s="0" t="n">
        <v>44391</v>
      </c>
      <c r="E33" s="0" t="n">
        <v>44836</v>
      </c>
    </row>
    <row r="34" customFormat="false" ht="12.8" hidden="false" customHeight="false" outlineLevel="0" collapsed="false">
      <c r="A34" s="0" t="s">
        <v>3</v>
      </c>
      <c r="B34" s="0" t="n">
        <v>45193</v>
      </c>
      <c r="C34" s="0" t="n">
        <v>45039</v>
      </c>
      <c r="D34" s="0" t="n">
        <v>44627</v>
      </c>
      <c r="E34" s="0" t="n">
        <v>44391</v>
      </c>
      <c r="G34" s="0" t="n">
        <f aca="false">($E35-B34)/$E35</f>
        <v>-0.00117412494461675</v>
      </c>
      <c r="H34" s="0" t="n">
        <f aca="false">($E35-C34)/$E35</f>
        <v>0.00223748338502437</v>
      </c>
      <c r="I34" s="0" t="n">
        <f aca="false">($E35-D34)/$E35</f>
        <v>0.0113646433318564</v>
      </c>
      <c r="J34" s="0" t="n">
        <f aca="false">($E35-E34)/$E35</f>
        <v>0.0165928223305272</v>
      </c>
    </row>
    <row r="35" customFormat="false" ht="12.8" hidden="false" customHeight="false" outlineLevel="0" collapsed="false">
      <c r="A35" s="0" t="s">
        <v>4</v>
      </c>
      <c r="B35" s="0" t="n">
        <v>44478</v>
      </c>
      <c r="C35" s="0" t="n">
        <v>44576</v>
      </c>
      <c r="D35" s="0" t="n">
        <v>44888</v>
      </c>
      <c r="E35" s="0" t="n">
        <v>45140</v>
      </c>
    </row>
    <row r="36" customFormat="false" ht="12.8" hidden="false" customHeight="false" outlineLevel="0" collapsed="false">
      <c r="A36" s="0" t="s">
        <v>5</v>
      </c>
      <c r="B36" s="0" t="n">
        <v>45729</v>
      </c>
      <c r="C36" s="0" t="n">
        <v>45586</v>
      </c>
      <c r="D36" s="0" t="n">
        <v>45147</v>
      </c>
      <c r="E36" s="0" t="n">
        <v>44869</v>
      </c>
      <c r="G36" s="0" t="n">
        <f aca="false">($E37-B36)/$E37</f>
        <v>-0.00569606333846492</v>
      </c>
      <c r="H36" s="0" t="n">
        <f aca="false">($E37-C36)/$E37</f>
        <v>-0.00255113261491093</v>
      </c>
      <c r="I36" s="0" t="n">
        <f aca="false">($E37-D36)/$E37</f>
        <v>0.0071035847811744</v>
      </c>
      <c r="J36" s="0" t="n">
        <f aca="false">($E37-E36)/$E37</f>
        <v>0.0132175060479437</v>
      </c>
    </row>
    <row r="37" customFormat="false" ht="12.8" hidden="false" customHeight="false" outlineLevel="0" collapsed="false">
      <c r="A37" s="0" t="s">
        <v>6</v>
      </c>
      <c r="B37" s="0" t="n">
        <v>44925</v>
      </c>
      <c r="C37" s="0" t="n">
        <v>45060</v>
      </c>
      <c r="D37" s="0" t="n">
        <v>45313</v>
      </c>
      <c r="E37" s="0" t="n">
        <v>45470</v>
      </c>
    </row>
    <row r="38" customFormat="false" ht="12.8" hidden="false" customHeight="false" outlineLevel="0" collapsed="false">
      <c r="A38" s="0" t="s">
        <v>7</v>
      </c>
      <c r="B38" s="0" t="n">
        <v>45839</v>
      </c>
      <c r="C38" s="0" t="n">
        <v>45651</v>
      </c>
      <c r="D38" s="0" t="n">
        <v>45145</v>
      </c>
      <c r="E38" s="0" t="n">
        <v>44867</v>
      </c>
      <c r="G38" s="0" t="n">
        <f aca="false">($E39-B38)/$E39</f>
        <v>-0.010426310452762</v>
      </c>
      <c r="H38" s="0" t="n">
        <f aca="false">($E39-C38)/$E39</f>
        <v>-0.00628223779923291</v>
      </c>
      <c r="I38" s="0" t="n">
        <f aca="false">($E39-D38)/$E39</f>
        <v>0.00487148966186131</v>
      </c>
      <c r="J38" s="0" t="n">
        <f aca="false">($E39-E38)/$E39</f>
        <v>0.0109994268835692</v>
      </c>
    </row>
    <row r="39" customFormat="false" ht="12.8" hidden="false" customHeight="false" outlineLevel="0" collapsed="false">
      <c r="A39" s="0" t="s">
        <v>8</v>
      </c>
      <c r="B39" s="0" t="n">
        <v>44932</v>
      </c>
      <c r="C39" s="0" t="n">
        <v>45052</v>
      </c>
      <c r="D39" s="0" t="n">
        <v>45279</v>
      </c>
      <c r="E39" s="0" t="n">
        <v>45366</v>
      </c>
    </row>
    <row r="40" customFormat="false" ht="12.8" hidden="false" customHeight="false" outlineLevel="0" collapsed="false">
      <c r="A40" s="0" t="s">
        <v>9</v>
      </c>
      <c r="B40" s="0" t="n">
        <v>45735</v>
      </c>
      <c r="C40" s="0" t="n">
        <v>45594</v>
      </c>
      <c r="D40" s="0" t="n">
        <v>45253</v>
      </c>
      <c r="E40" s="0" t="n">
        <v>45047</v>
      </c>
      <c r="G40" s="0" t="n">
        <f aca="false">($E41-B40)/$E41</f>
        <v>-0.00313651517810142</v>
      </c>
      <c r="H40" s="0" t="n">
        <f aca="false">($E41-C40)/$E41</f>
        <v>-4.38673451482716E-005</v>
      </c>
      <c r="I40" s="0" t="n">
        <f aca="false">($E41-D40)/$E41</f>
        <v>0.00743551500263204</v>
      </c>
      <c r="J40" s="0" t="n">
        <f aca="false">($E41-E40)/$E41</f>
        <v>0.011953851552904</v>
      </c>
    </row>
    <row r="41" customFormat="false" ht="12.8" hidden="false" customHeight="false" outlineLevel="0" collapsed="false">
      <c r="A41" s="0" t="s">
        <v>10</v>
      </c>
      <c r="B41" s="0" t="n">
        <v>45141</v>
      </c>
      <c r="C41" s="0" t="n">
        <v>45229</v>
      </c>
      <c r="D41" s="0" t="n">
        <v>45501</v>
      </c>
      <c r="E41" s="0" t="n">
        <v>45592</v>
      </c>
    </row>
    <row r="42" customFormat="false" ht="12.8" hidden="false" customHeight="false" outlineLevel="0" collapsed="false">
      <c r="A42" s="0" t="s">
        <v>11</v>
      </c>
      <c r="B42" s="0" t="n">
        <v>45919</v>
      </c>
      <c r="C42" s="0" t="n">
        <v>45760</v>
      </c>
      <c r="D42" s="0" t="n">
        <v>45292</v>
      </c>
      <c r="E42" s="0" t="n">
        <v>45012</v>
      </c>
      <c r="G42" s="0" t="n">
        <f aca="false">($E43-B42)/$E43</f>
        <v>-0.00900920697004988</v>
      </c>
      <c r="H42" s="0" t="n">
        <f aca="false">($E43-C42)/$E43</f>
        <v>-0.00551539255971346</v>
      </c>
      <c r="I42" s="0" t="n">
        <f aca="false">($E43-D42)/$E43</f>
        <v>0.00476828759146543</v>
      </c>
      <c r="J42" s="0" t="n">
        <f aca="false">($E43-E42)/$E43</f>
        <v>0.0109209167417434</v>
      </c>
    </row>
    <row r="43" customFormat="false" ht="12.8" hidden="false" customHeight="false" outlineLevel="0" collapsed="false">
      <c r="A43" s="0" t="s">
        <v>12</v>
      </c>
      <c r="B43" s="0" t="n">
        <v>45064</v>
      </c>
      <c r="C43" s="0" t="n">
        <v>45174</v>
      </c>
      <c r="D43" s="0" t="n">
        <v>45430</v>
      </c>
      <c r="E43" s="0" t="n">
        <v>45509</v>
      </c>
    </row>
    <row r="44" customFormat="false" ht="12.8" hidden="false" customHeight="false" outlineLevel="0" collapsed="false">
      <c r="G44" s="1" t="n">
        <f aca="false">G32-G42</f>
        <v>0.172092443654857</v>
      </c>
      <c r="H44" s="1" t="n">
        <f aca="false">H32-H42</f>
        <v>0.116274603907737</v>
      </c>
      <c r="I44" s="1" t="n">
        <f aca="false">I32-I42</f>
        <v>0.0434295891147528</v>
      </c>
      <c r="J44" s="1" t="n">
        <f aca="false">J32-J42</f>
        <v>0.0203262953199927</v>
      </c>
    </row>
    <row r="45" customFormat="false" ht="12.8" hidden="false" customHeight="false" outlineLevel="0" collapsed="false">
      <c r="A45" s="0" t="s">
        <v>19</v>
      </c>
    </row>
    <row r="46" customFormat="false" ht="12.8" hidden="false" customHeight="false" outlineLevel="0" collapsed="false">
      <c r="A46" s="0" t="s">
        <v>1</v>
      </c>
      <c r="B46" s="0" t="n">
        <v>37185</v>
      </c>
      <c r="C46" s="0" t="n">
        <v>39438</v>
      </c>
      <c r="D46" s="0" t="n">
        <v>42415</v>
      </c>
      <c r="E46" s="0" t="n">
        <v>43327</v>
      </c>
      <c r="G46" s="0" t="n">
        <f aca="false">($E47-B46)/$E47</f>
        <v>0.166704015776264</v>
      </c>
      <c r="H46" s="0" t="n">
        <f aca="false">($E47-C46)/$E47</f>
        <v>0.116215489422732</v>
      </c>
      <c r="I46" s="0" t="n">
        <f aca="false">($E47-D46)/$E47</f>
        <v>0.0495025098601649</v>
      </c>
      <c r="J46" s="0" t="n">
        <f aca="false">($E47-E46)/$E47</f>
        <v>0.0290650770885622</v>
      </c>
    </row>
    <row r="47" customFormat="false" ht="12.8" hidden="false" customHeight="false" outlineLevel="0" collapsed="false">
      <c r="A47" s="0" t="s">
        <v>2</v>
      </c>
      <c r="B47" s="0" t="n">
        <v>43509</v>
      </c>
      <c r="C47" s="0" t="n">
        <v>43660</v>
      </c>
      <c r="D47" s="0" t="n">
        <v>44208</v>
      </c>
      <c r="E47" s="0" t="n">
        <v>44624</v>
      </c>
    </row>
    <row r="48" customFormat="false" ht="12.8" hidden="false" customHeight="false" outlineLevel="0" collapsed="false">
      <c r="A48" s="0" t="s">
        <v>3</v>
      </c>
      <c r="B48" s="0" t="n">
        <v>45312</v>
      </c>
      <c r="C48" s="0" t="n">
        <v>45179</v>
      </c>
      <c r="D48" s="0" t="n">
        <v>44823</v>
      </c>
      <c r="E48" s="0" t="n">
        <v>44716</v>
      </c>
      <c r="G48" s="0" t="n">
        <f aca="false">($E49-B48)/$E49</f>
        <v>0.00147645386632583</v>
      </c>
      <c r="H48" s="0" t="n">
        <f aca="false">($E49-C48)/$E49</f>
        <v>0.00440732497410697</v>
      </c>
      <c r="I48" s="0" t="n">
        <f aca="false">($E49-D48)/$E49</f>
        <v>0.0122523634280174</v>
      </c>
      <c r="J48" s="0" t="n">
        <f aca="false">($E49-E48)/$E49</f>
        <v>0.0146102822891646</v>
      </c>
    </row>
    <row r="49" customFormat="false" ht="12.8" hidden="false" customHeight="false" outlineLevel="0" collapsed="false">
      <c r="A49" s="0" t="s">
        <v>4</v>
      </c>
      <c r="B49" s="0" t="n">
        <v>44793</v>
      </c>
      <c r="C49" s="0" t="n">
        <v>44922</v>
      </c>
      <c r="D49" s="0" t="n">
        <v>45218</v>
      </c>
      <c r="E49" s="0" t="n">
        <v>45379</v>
      </c>
    </row>
    <row r="50" customFormat="false" ht="12.8" hidden="false" customHeight="false" outlineLevel="0" collapsed="false">
      <c r="A50" s="0" t="s">
        <v>5</v>
      </c>
      <c r="B50" s="0" t="n">
        <v>45639</v>
      </c>
      <c r="C50" s="0" t="n">
        <v>45465</v>
      </c>
      <c r="D50" s="0" t="n">
        <v>45071</v>
      </c>
      <c r="E50" s="0" t="n">
        <v>44909</v>
      </c>
      <c r="G50" s="0" t="n">
        <f aca="false">($E51-B50)/$E51</f>
        <v>-0.0021959199806759</v>
      </c>
      <c r="H50" s="0" t="n">
        <f aca="false">($E51-C50)/$E51</f>
        <v>0.00162498078570017</v>
      </c>
      <c r="I50" s="0" t="n">
        <f aca="false">($E51-D50)/$E51</f>
        <v>0.0102769055095632</v>
      </c>
      <c r="J50" s="0" t="n">
        <f aca="false">($E51-E50)/$E51</f>
        <v>0.0138342958782582</v>
      </c>
    </row>
    <row r="51" customFormat="false" ht="12.8" hidden="false" customHeight="false" outlineLevel="0" collapsed="false">
      <c r="A51" s="0" t="s">
        <v>6</v>
      </c>
      <c r="B51" s="0" t="n">
        <v>44978</v>
      </c>
      <c r="C51" s="0" t="n">
        <v>45107</v>
      </c>
      <c r="D51" s="0" t="n">
        <v>45407</v>
      </c>
      <c r="E51" s="0" t="n">
        <v>45539</v>
      </c>
    </row>
    <row r="52" customFormat="false" ht="12.8" hidden="false" customHeight="false" outlineLevel="0" collapsed="false">
      <c r="A52" s="0" t="s">
        <v>7</v>
      </c>
      <c r="B52" s="0" t="n">
        <v>45739</v>
      </c>
      <c r="C52" s="0" t="n">
        <v>45563</v>
      </c>
      <c r="D52" s="0" t="n">
        <v>45148</v>
      </c>
      <c r="E52" s="0" t="n">
        <v>44866</v>
      </c>
      <c r="G52" s="0" t="n">
        <f aca="false">($E53-B52)/$E53</f>
        <v>-0.00931217865260278</v>
      </c>
      <c r="H52" s="0" t="n">
        <f aca="false">($E53-C52)/$E53</f>
        <v>-0.0054284264183419</v>
      </c>
      <c r="I52" s="0" t="n">
        <f aca="false">($E53-D52)/$E53</f>
        <v>0.00372928481585277</v>
      </c>
      <c r="J52" s="0" t="n">
        <f aca="false">($E53-E52)/$E53</f>
        <v>0.00995211510029349</v>
      </c>
    </row>
    <row r="53" customFormat="false" ht="12.8" hidden="false" customHeight="false" outlineLevel="0" collapsed="false">
      <c r="A53" s="0" t="s">
        <v>8</v>
      </c>
      <c r="B53" s="0" t="n">
        <v>44908</v>
      </c>
      <c r="C53" s="0" t="n">
        <v>44998</v>
      </c>
      <c r="D53" s="0" t="n">
        <v>45199</v>
      </c>
      <c r="E53" s="0" t="n">
        <v>45317</v>
      </c>
    </row>
    <row r="54" customFormat="false" ht="12.8" hidden="false" customHeight="false" outlineLevel="0" collapsed="false">
      <c r="A54" s="0" t="s">
        <v>9</v>
      </c>
      <c r="B54" s="0" t="n">
        <v>45620</v>
      </c>
      <c r="C54" s="0" t="n">
        <v>45450</v>
      </c>
      <c r="D54" s="0" t="n">
        <v>45068</v>
      </c>
      <c r="E54" s="0" t="n">
        <v>44913</v>
      </c>
      <c r="G54" s="0" t="n">
        <f aca="false">($E55-B54)/$E55</f>
        <v>-0.000767796424262367</v>
      </c>
      <c r="H54" s="0" t="n">
        <f aca="false">($E55-C54)/$E55</f>
        <v>0.00296150049358342</v>
      </c>
      <c r="I54" s="0" t="n">
        <f aca="false">($E55-D54)/$E55</f>
        <v>0.0113414500383898</v>
      </c>
      <c r="J54" s="0" t="n">
        <f aca="false">($E55-E54)/$E55</f>
        <v>0.0147416913458374</v>
      </c>
    </row>
    <row r="55" customFormat="false" ht="12.8" hidden="false" customHeight="false" outlineLevel="0" collapsed="false">
      <c r="A55" s="0" t="s">
        <v>10</v>
      </c>
      <c r="B55" s="0" t="n">
        <v>44989</v>
      </c>
      <c r="C55" s="0" t="n">
        <v>45108</v>
      </c>
      <c r="D55" s="0" t="n">
        <v>45425</v>
      </c>
      <c r="E55" s="0" t="n">
        <v>45585</v>
      </c>
    </row>
    <row r="56" customFormat="false" ht="12.8" hidden="false" customHeight="false" outlineLevel="0" collapsed="false">
      <c r="A56" s="0" t="s">
        <v>11</v>
      </c>
      <c r="B56" s="0" t="n">
        <v>45602</v>
      </c>
      <c r="C56" s="0" t="n">
        <v>45431</v>
      </c>
      <c r="D56" s="0" t="n">
        <v>45051</v>
      </c>
      <c r="E56" s="0" t="n">
        <v>44877</v>
      </c>
      <c r="G56" s="0" t="n">
        <f aca="false">($E57-B56)/$E57</f>
        <v>-0.000394875394875395</v>
      </c>
      <c r="H56" s="0" t="n">
        <f aca="false">($E57-C56)/$E57</f>
        <v>0.00335644085644086</v>
      </c>
      <c r="I56" s="0" t="n">
        <f aca="false">($E57-D56)/$E57</f>
        <v>0.0116926991926992</v>
      </c>
      <c r="J56" s="0" t="n">
        <f aca="false">($E57-E56)/$E57</f>
        <v>0.015509828009828</v>
      </c>
    </row>
    <row r="57" customFormat="false" ht="12.8" hidden="false" customHeight="false" outlineLevel="0" collapsed="false">
      <c r="A57" s="0" t="s">
        <v>12</v>
      </c>
      <c r="B57" s="0" t="n">
        <v>44971</v>
      </c>
      <c r="C57" s="0" t="n">
        <v>45096</v>
      </c>
      <c r="D57" s="0" t="n">
        <v>45422</v>
      </c>
      <c r="E57" s="0" t="n">
        <v>45584</v>
      </c>
    </row>
    <row r="58" customFormat="false" ht="12.8" hidden="false" customHeight="false" outlineLevel="0" collapsed="false">
      <c r="G58" s="1" t="n">
        <f aca="false">G46-G56</f>
        <v>0.167098891171139</v>
      </c>
      <c r="H58" s="1" t="n">
        <f aca="false">H46-H56</f>
        <v>0.112859048566291</v>
      </c>
      <c r="I58" s="1" t="n">
        <f aca="false">I46-I56</f>
        <v>0.0378098106674657</v>
      </c>
      <c r="J58" s="1" t="n">
        <f aca="false">J46-J56</f>
        <v>0.0135552490787342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2025-04-16T20:56:41Z</dcterms:created>
  <dc:creator/>
  <dc:description/>
  <dc:language>en-GB</dc:language>
  <cp:lastModifiedBy/>
  <dcterms:modified xsi:type="dcterms:W3CDTF">2025-04-17T00:12:37Z</dcterms:modified>
  <cp:revision>4</cp:revision>
  <dc:subject/>
  <dc:title/>
</cp:coreProperties>
</file>